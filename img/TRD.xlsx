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Formatos Luxe Intérieur\Documentos\"/>
    </mc:Choice>
  </mc:AlternateContent>
  <xr:revisionPtr revIDLastSave="0" documentId="13_ncr:1_{5412D1E7-704A-4A00-86D8-30F6F0DB1EFA}" xr6:coauthVersionLast="47" xr6:coauthVersionMax="47" xr10:uidLastSave="{00000000-0000-0000-0000-000000000000}"/>
  <bookViews>
    <workbookView xWindow="-110" yWindow="-110" windowWidth="19420" windowHeight="10300" xr2:uid="{09FC2C0E-FB56-496C-970D-52A691FA49AC}"/>
  </bookViews>
  <sheets>
    <sheet name="TRD" sheetId="3" r:id="rId1"/>
    <sheet name="TOTAL DOCUMENTOS" sheetId="2" r:id="rId2"/>
  </sheets>
  <definedNames>
    <definedName name="_xlnm._FilterDatabase" localSheetId="0" hidden="1">TRD!$A$5:$I$34</definedName>
    <definedName name="Tabla1">TRD!$A$5:$I$34</definedName>
    <definedName name="Tabla2">TRD!$C$6:$C$34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B1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<sst xmlns="http://schemas.openxmlformats.org/spreadsheetml/2006/main" count="270" uniqueCount="126">
  <si>
    <t>Código</t>
  </si>
  <si>
    <t>Documento</t>
  </si>
  <si>
    <t>GD-GC-FC-001</t>
  </si>
  <si>
    <t>Formato de Cotización</t>
  </si>
  <si>
    <t>Gestión Comercial</t>
  </si>
  <si>
    <t>Formato</t>
  </si>
  <si>
    <t>GD-GC-PC-001</t>
  </si>
  <si>
    <t>Formato de Propuesta Comercial</t>
  </si>
  <si>
    <t>GD-GC-CPSC-001</t>
  </si>
  <si>
    <t>Contrato</t>
  </si>
  <si>
    <t>GD-GF-FV-001</t>
  </si>
  <si>
    <t>Factura de Venta</t>
  </si>
  <si>
    <t>Gestión Financiera</t>
  </si>
  <si>
    <t>Registro</t>
  </si>
  <si>
    <t>GD-GF-CPC-001</t>
  </si>
  <si>
    <t>Control de Pagos de Clientes</t>
  </si>
  <si>
    <t>Control</t>
  </si>
  <si>
    <t>GD-GO-OT-001</t>
  </si>
  <si>
    <t>Orden de Trabajo / Inicio de Proyecto</t>
  </si>
  <si>
    <t>Gestión Operativa</t>
  </si>
  <si>
    <t>GD-GO-CA-001</t>
  </si>
  <si>
    <t>Cronograma de Actividades</t>
  </si>
  <si>
    <t>GD-GO-OCP-001</t>
  </si>
  <si>
    <t>Orden de Compra a Proveedores</t>
  </si>
  <si>
    <t>GD-GO-AEP-001</t>
  </si>
  <si>
    <t>Acta de Entrega Final del Proyecto</t>
  </si>
  <si>
    <t>Acta</t>
  </si>
  <si>
    <t>GD-GA-MO-001</t>
  </si>
  <si>
    <t>Manual Organizacional</t>
  </si>
  <si>
    <t>Gestión Administrativa</t>
  </si>
  <si>
    <t>Manual</t>
  </si>
  <si>
    <t>GD-GA-PUR-001</t>
  </si>
  <si>
    <t>Política de Uso de Recursos</t>
  </si>
  <si>
    <t>Política</t>
  </si>
  <si>
    <t>GD-GH-RIT-001</t>
  </si>
  <si>
    <t>Reglamento Interno de Trabajo</t>
  </si>
  <si>
    <t>Gestión Humana</t>
  </si>
  <si>
    <t>Reglamento</t>
  </si>
  <si>
    <t>GD-GH-GN-001</t>
  </si>
  <si>
    <t>Guía de Nómina</t>
  </si>
  <si>
    <t>Guía</t>
  </si>
  <si>
    <t>GD-GA-AR-001</t>
  </si>
  <si>
    <t>Acta de Reunión</t>
  </si>
  <si>
    <t>GD-GH-CIT-001</t>
  </si>
  <si>
    <t>Contrato Individual de Trabajo</t>
  </si>
  <si>
    <t>GD-GH-CAM-001</t>
  </si>
  <si>
    <t>Control de Asistencia Mensual</t>
  </si>
  <si>
    <t>GD-JR-NDA-001</t>
  </si>
  <si>
    <t>Acuerdo de Confidencialidad</t>
  </si>
  <si>
    <t>Gestión Jurídica</t>
  </si>
  <si>
    <t>Acuerdo</t>
  </si>
  <si>
    <t>GD-GA-PDP-001</t>
  </si>
  <si>
    <t>GD-GH-MF-001</t>
  </si>
  <si>
    <t>Manual de Funciones</t>
  </si>
  <si>
    <t>GD-SGI-MR-001</t>
  </si>
  <si>
    <t>Matriz de Riesgos</t>
  </si>
  <si>
    <t>Gestión Integral</t>
  </si>
  <si>
    <t>Matriz</t>
  </si>
  <si>
    <t>GD-GD-TRD-001</t>
  </si>
  <si>
    <t>Tabla de Retención Documental</t>
  </si>
  <si>
    <t>Gestión Documental</t>
  </si>
  <si>
    <t>Tabla</t>
  </si>
  <si>
    <t>GD-GD-CHKD-001</t>
  </si>
  <si>
    <t>Checklist de Documentos</t>
  </si>
  <si>
    <t>Checklist</t>
  </si>
  <si>
    <t>GD-GA-MG-001</t>
  </si>
  <si>
    <t>Manual General</t>
  </si>
  <si>
    <t>Checklist Entrega del Proyecto</t>
  </si>
  <si>
    <t>Área</t>
  </si>
  <si>
    <t>Cantidad</t>
  </si>
  <si>
    <t>Gestión / Área Responsable</t>
  </si>
  <si>
    <t>Responsable</t>
  </si>
  <si>
    <t>Versión</t>
  </si>
  <si>
    <t>Estado</t>
  </si>
  <si>
    <t>Vigencia</t>
  </si>
  <si>
    <t>Tipo Documental</t>
  </si>
  <si>
    <t>Ubicación</t>
  </si>
  <si>
    <t>Coordinador Comercial</t>
  </si>
  <si>
    <t>1.0</t>
  </si>
  <si>
    <t>Vigente</t>
  </si>
  <si>
    <t>Carpeta Comercial</t>
  </si>
  <si>
    <t>Contrato Prestación de Servicios Clientes</t>
  </si>
  <si>
    <t>Gerencia</t>
  </si>
  <si>
    <t>Carpeta Jurídica</t>
  </si>
  <si>
    <t>Contabilidad</t>
  </si>
  <si>
    <t>Permanente</t>
  </si>
  <si>
    <t>Carpeta Financiera</t>
  </si>
  <si>
    <t>Tesorería</t>
  </si>
  <si>
    <t>Coordinador Proyectos</t>
  </si>
  <si>
    <t>Carpeta Proyectos</t>
  </si>
  <si>
    <t>Por proyecto</t>
  </si>
  <si>
    <t>Compras</t>
  </si>
  <si>
    <t>Carpeta Compras</t>
  </si>
  <si>
    <t>Carpeta Administrativa</t>
  </si>
  <si>
    <t>Administrador</t>
  </si>
  <si>
    <t>Talento Humano</t>
  </si>
  <si>
    <t>Carpeta GH</t>
  </si>
  <si>
    <t>Nómina</t>
  </si>
  <si>
    <t>Secretaría</t>
  </si>
  <si>
    <t>Mensual</t>
  </si>
  <si>
    <t>Política de Datos Personales</t>
  </si>
  <si>
    <t>Administrativa / Jurídica</t>
  </si>
  <si>
    <t>Semestral</t>
  </si>
  <si>
    <t>Carpeta SGI</t>
  </si>
  <si>
    <t>Archivo</t>
  </si>
  <si>
    <t>Carpeta GD</t>
  </si>
  <si>
    <r>
      <t>Fecha:</t>
    </r>
    <r>
      <rPr>
        <sz val="12"/>
        <color theme="1"/>
        <rFont val="Times New Roman"/>
        <family val="1"/>
      </rPr>
      <t xml:space="preserve"> 20-04-2026</t>
    </r>
  </si>
  <si>
    <r>
      <t xml:space="preserve">Versión: </t>
    </r>
    <r>
      <rPr>
        <sz val="12"/>
        <color theme="1"/>
        <rFont val="Times New Roman"/>
        <family val="1"/>
      </rPr>
      <t>1</t>
    </r>
  </si>
  <si>
    <t>TABLA DE RETENCION DOCUMENTAL</t>
  </si>
  <si>
    <t>GESTIÓN DOCUMENTAL</t>
  </si>
  <si>
    <t>GD-GO-CHK-001</t>
  </si>
  <si>
    <r>
      <t>Código:</t>
    </r>
    <r>
      <rPr>
        <sz val="12"/>
        <color theme="1"/>
        <rFont val="Times New Roman"/>
        <family val="1"/>
      </rPr>
      <t xml:space="preserve"> GD-GD-TMD-001</t>
    </r>
  </si>
  <si>
    <r>
      <rPr>
        <b/>
        <sz val="12"/>
        <color theme="1"/>
        <rFont val="Times New Roman"/>
        <family val="1"/>
      </rPr>
      <t>Página</t>
    </r>
    <r>
      <rPr>
        <sz val="12"/>
        <color theme="1"/>
        <rFont val="Times New Roman"/>
        <family val="1"/>
      </rPr>
      <t xml:space="preserve"> 1 - 2</t>
    </r>
  </si>
  <si>
    <t>Control de Cambios</t>
  </si>
  <si>
    <t>GD-GO-CC-001</t>
  </si>
  <si>
    <t>GD-GO-BP-001</t>
  </si>
  <si>
    <t>Bitácora de Proyectos</t>
  </si>
  <si>
    <t>Acta de Visita Tecnica</t>
  </si>
  <si>
    <t>GD-GO-AVT-001</t>
  </si>
  <si>
    <t>Garantia de Proyecto</t>
  </si>
  <si>
    <t>GD-GO-GAR-001</t>
  </si>
  <si>
    <t>GD-GH-SGSST-001</t>
  </si>
  <si>
    <t xml:space="preserve">Sistema de Seguridad </t>
  </si>
  <si>
    <t>Carpeta SG-SST</t>
  </si>
  <si>
    <t xml:space="preserve">Comercial 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</si>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</sst>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CA17-7C56-4023-9A0B-FF2199B48205}">
  <dimension ref="A1:I34"/>
  <sheetViews>
    <sheetView tabSelected="1" topLeftCell="A22" workbookViewId="0">
      <selection activeCell="D33" sqref="D33"/>
    </sheetView>
  </sheetViews>
  <sheetFormatPr baseColWidth="10" defaultRowHeight="14.5" x14ac:dyDescent="0.35"/>
  <cols>
    <col min="1" max="1" width="17.6328125" customWidth="1"/>
    <col min="2" max="2" width="27.81640625" style="3" customWidth="1"/>
    <col min="3" max="3" width="21.90625" style="3" customWidth="1"/>
    <col min="4" max="4" width="17.453125" style="3" customWidth="1"/>
    <col min="5" max="5" width="15.6328125" style="3" customWidth="1"/>
    <col min="6" max="6" width="11.90625" style="3" customWidth="1"/>
    <col min="7" max="7" width="17" style="3" customWidth="1"/>
    <col min="8" max="8" width="14.36328125" style="3" customWidth="1"/>
    <col min="9" max="9" width="15" style="3" customWidth="1"/>
  </cols>
  <sheetData>
    <row r="1" spans="1:9" ht="25.5" customHeight="1" x14ac:dyDescent="0.35">
      <c r="A1" s="7" t="e" vm="1">
        <v>#VALUE!</v>
      </c>
      <c r="B1" s="10" t="s">
        <v>109</v>
      </c>
      <c r="C1" s="10"/>
      <c r="D1" s="10"/>
      <c r="E1" s="10"/>
      <c r="F1" s="10"/>
      <c r="G1" s="10"/>
      <c r="H1" s="10"/>
      <c r="I1" s="10"/>
    </row>
    <row r="2" spans="1:9" ht="25.5" customHeight="1" x14ac:dyDescent="0.35">
      <c r="A2" s="8"/>
      <c r="B2" s="11" t="s">
        <v>108</v>
      </c>
      <c r="C2" s="11"/>
      <c r="D2" s="11"/>
      <c r="E2" s="11"/>
      <c r="F2" s="11"/>
      <c r="G2" s="11"/>
      <c r="H2" s="11"/>
      <c r="I2" s="11"/>
    </row>
    <row r="3" spans="1:9" ht="21.5" customHeight="1" thickBot="1" x14ac:dyDescent="0.4">
      <c r="A3" s="9"/>
      <c r="B3" s="13" t="s">
        <v>111</v>
      </c>
      <c r="C3" s="13"/>
      <c r="D3" s="13" t="s">
        <v>107</v>
      </c>
      <c r="E3" s="13"/>
      <c r="F3" s="13" t="s">
        <v>106</v>
      </c>
      <c r="G3" s="13"/>
      <c r="H3" s="12" t="s">
        <v>112</v>
      </c>
      <c r="I3" s="12"/>
    </row>
    <row r="5" spans="1:9" ht="28" x14ac:dyDescent="0.35">
      <c r="A5" s="4" t="s">
        <v>0</v>
      </c>
      <c r="B5" s="4" t="s">
        <v>1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</row>
    <row r="6" spans="1:9" ht="28" x14ac:dyDescent="0.35">
      <c r="A6" s="14" t="s">
        <v>24</v>
      </c>
      <c r="B6" s="15" t="s">
        <v>25</v>
      </c>
      <c r="C6" s="15" t="s">
        <v>19</v>
      </c>
      <c r="D6" s="15" t="s">
        <v>88</v>
      </c>
      <c r="E6" s="15" t="s">
        <v>78</v>
      </c>
      <c r="F6" s="15" t="s">
        <v>79</v>
      </c>
      <c r="G6" s="15" t="s">
        <v>90</v>
      </c>
      <c r="H6" s="15" t="s">
        <v>26</v>
      </c>
      <c r="I6" s="15" t="s">
        <v>89</v>
      </c>
    </row>
    <row r="7" spans="1:9" ht="28" x14ac:dyDescent="0.35">
      <c r="A7" s="14" t="s">
        <v>41</v>
      </c>
      <c r="B7" s="15" t="s">
        <v>42</v>
      </c>
      <c r="C7" s="15" t="s">
        <v>29</v>
      </c>
      <c r="D7" s="15" t="s">
        <v>98</v>
      </c>
      <c r="E7" s="15" t="s">
        <v>78</v>
      </c>
      <c r="F7" s="15" t="s">
        <v>79</v>
      </c>
      <c r="G7" s="15">
        <v>2026</v>
      </c>
      <c r="H7" s="15" t="s">
        <v>26</v>
      </c>
      <c r="I7" s="15" t="s">
        <v>93</v>
      </c>
    </row>
    <row r="8" spans="1:9" ht="28" x14ac:dyDescent="0.35">
      <c r="A8" s="14" t="s">
        <v>118</v>
      </c>
      <c r="B8" s="15" t="s">
        <v>117</v>
      </c>
      <c r="C8" s="15" t="s">
        <v>19</v>
      </c>
      <c r="D8" s="15" t="s">
        <v>88</v>
      </c>
      <c r="E8" s="15" t="s">
        <v>78</v>
      </c>
      <c r="F8" s="15" t="s">
        <v>79</v>
      </c>
      <c r="G8" s="15">
        <v>2026</v>
      </c>
      <c r="H8" s="15" t="s">
        <v>26</v>
      </c>
      <c r="I8" s="15" t="s">
        <v>89</v>
      </c>
    </row>
    <row r="9" spans="1:9" x14ac:dyDescent="0.35">
      <c r="A9" s="14" t="s">
        <v>47</v>
      </c>
      <c r="B9" s="15" t="s">
        <v>48</v>
      </c>
      <c r="C9" s="15" t="s">
        <v>49</v>
      </c>
      <c r="D9" s="15" t="s">
        <v>82</v>
      </c>
      <c r="E9" s="15" t="s">
        <v>78</v>
      </c>
      <c r="F9" s="15" t="s">
        <v>79</v>
      </c>
      <c r="G9" s="15" t="s">
        <v>85</v>
      </c>
      <c r="H9" s="15" t="s">
        <v>50</v>
      </c>
      <c r="I9" s="15" t="s">
        <v>83</v>
      </c>
    </row>
    <row r="10" spans="1:9" ht="28" x14ac:dyDescent="0.35">
      <c r="A10" s="14" t="s">
        <v>115</v>
      </c>
      <c r="B10" s="15" t="s">
        <v>116</v>
      </c>
      <c r="C10" s="15" t="s">
        <v>19</v>
      </c>
      <c r="D10" s="15" t="s">
        <v>88</v>
      </c>
      <c r="E10" s="15" t="s">
        <v>78</v>
      </c>
      <c r="F10" s="15" t="s">
        <v>79</v>
      </c>
      <c r="G10" s="15">
        <v>2026</v>
      </c>
      <c r="H10" s="15" t="s">
        <v>5</v>
      </c>
      <c r="I10" s="15" t="s">
        <v>89</v>
      </c>
    </row>
    <row r="11" spans="1:9" x14ac:dyDescent="0.35">
      <c r="A11" s="14" t="s">
        <v>62</v>
      </c>
      <c r="B11" s="15" t="s">
        <v>63</v>
      </c>
      <c r="C11" s="15" t="s">
        <v>60</v>
      </c>
      <c r="D11" s="15" t="s">
        <v>104</v>
      </c>
      <c r="E11" s="15" t="s">
        <v>78</v>
      </c>
      <c r="F11" s="15" t="s">
        <v>79</v>
      </c>
      <c r="G11" s="15">
        <v>2026</v>
      </c>
      <c r="H11" s="15" t="s">
        <v>64</v>
      </c>
      <c r="I11" s="15" t="s">
        <v>105</v>
      </c>
    </row>
    <row r="12" spans="1:9" ht="28" x14ac:dyDescent="0.35">
      <c r="A12" s="14" t="s">
        <v>110</v>
      </c>
      <c r="B12" s="15" t="s">
        <v>67</v>
      </c>
      <c r="C12" s="15" t="s">
        <v>19</v>
      </c>
      <c r="D12" s="15" t="s">
        <v>88</v>
      </c>
      <c r="E12" s="15" t="s">
        <v>78</v>
      </c>
      <c r="F12" s="15" t="s">
        <v>79</v>
      </c>
      <c r="G12" s="15" t="s">
        <v>90</v>
      </c>
      <c r="H12" s="15" t="s">
        <v>64</v>
      </c>
      <c r="I12" s="15" t="s">
        <v>89</v>
      </c>
    </row>
    <row r="13" spans="1:9" x14ac:dyDescent="0.35">
      <c r="A13" s="14" t="s">
        <v>43</v>
      </c>
      <c r="B13" s="15" t="s">
        <v>44</v>
      </c>
      <c r="C13" s="15" t="s">
        <v>36</v>
      </c>
      <c r="D13" s="15" t="s">
        <v>95</v>
      </c>
      <c r="E13" s="15" t="s">
        <v>78</v>
      </c>
      <c r="F13" s="15" t="s">
        <v>79</v>
      </c>
      <c r="G13" s="15" t="s">
        <v>85</v>
      </c>
      <c r="H13" s="15" t="s">
        <v>9</v>
      </c>
      <c r="I13" s="15" t="s">
        <v>96</v>
      </c>
    </row>
    <row r="14" spans="1:9" ht="28" x14ac:dyDescent="0.35">
      <c r="A14" s="14" t="s">
        <v>8</v>
      </c>
      <c r="B14" s="15" t="s">
        <v>81</v>
      </c>
      <c r="C14" s="15" t="s">
        <v>124</v>
      </c>
      <c r="D14" s="15" t="s">
        <v>82</v>
      </c>
      <c r="E14" s="15" t="s">
        <v>78</v>
      </c>
      <c r="F14" s="15" t="s">
        <v>79</v>
      </c>
      <c r="G14" s="15">
        <v>2026</v>
      </c>
      <c r="H14" s="15" t="s">
        <v>9</v>
      </c>
      <c r="I14" s="15" t="s">
        <v>83</v>
      </c>
    </row>
    <row r="15" spans="1:9" x14ac:dyDescent="0.35">
      <c r="A15" s="14" t="s">
        <v>45</v>
      </c>
      <c r="B15" s="15" t="s">
        <v>46</v>
      </c>
      <c r="C15" s="15" t="s">
        <v>36</v>
      </c>
      <c r="D15" s="15" t="s">
        <v>95</v>
      </c>
      <c r="E15" s="15" t="s">
        <v>78</v>
      </c>
      <c r="F15" s="15" t="s">
        <v>79</v>
      </c>
      <c r="G15" s="15" t="s">
        <v>99</v>
      </c>
      <c r="H15" s="15" t="s">
        <v>16</v>
      </c>
      <c r="I15" s="15" t="s">
        <v>96</v>
      </c>
    </row>
    <row r="16" spans="1:9" ht="28" x14ac:dyDescent="0.35">
      <c r="A16" s="14" t="s">
        <v>114</v>
      </c>
      <c r="B16" s="15" t="s">
        <v>113</v>
      </c>
      <c r="C16" s="15" t="s">
        <v>19</v>
      </c>
      <c r="D16" s="15" t="s">
        <v>88</v>
      </c>
      <c r="E16" s="15" t="s">
        <v>78</v>
      </c>
      <c r="F16" s="15" t="s">
        <v>79</v>
      </c>
      <c r="G16" s="15" t="s">
        <v>90</v>
      </c>
      <c r="H16" s="15" t="s">
        <v>16</v>
      </c>
      <c r="I16" s="15" t="s">
        <v>89</v>
      </c>
    </row>
    <row r="17" spans="1:9" ht="28" x14ac:dyDescent="0.35">
      <c r="A17" s="14" t="s">
        <v>14</v>
      </c>
      <c r="B17" s="15" t="s">
        <v>15</v>
      </c>
      <c r="C17" s="15" t="s">
        <v>125</v>
      </c>
      <c r="D17" s="15" t="s">
        <v>87</v>
      </c>
      <c r="E17" s="15" t="s">
        <v>78</v>
      </c>
      <c r="F17" s="15" t="s">
        <v>79</v>
      </c>
      <c r="G17" s="15">
        <v>2026</v>
      </c>
      <c r="H17" s="15" t="s">
        <v>16</v>
      </c>
      <c r="I17" s="15" t="s">
        <v>86</v>
      </c>
    </row>
    <row r="18" spans="1:9" ht="28" x14ac:dyDescent="0.35">
      <c r="A18" s="14" t="s">
        <v>20</v>
      </c>
      <c r="B18" s="15" t="s">
        <v>21</v>
      </c>
      <c r="C18" s="15" t="s">
        <v>19</v>
      </c>
      <c r="D18" s="15" t="s">
        <v>88</v>
      </c>
      <c r="E18" s="15" t="s">
        <v>78</v>
      </c>
      <c r="F18" s="15" t="s">
        <v>79</v>
      </c>
      <c r="G18" s="15" t="s">
        <v>90</v>
      </c>
      <c r="H18" s="15" t="s">
        <v>16</v>
      </c>
      <c r="I18" s="15" t="s">
        <v>89</v>
      </c>
    </row>
    <row r="19" spans="1:9" ht="28" x14ac:dyDescent="0.35">
      <c r="A19" s="14" t="s">
        <v>10</v>
      </c>
      <c r="B19" s="15" t="s">
        <v>11</v>
      </c>
      <c r="C19" s="15" t="s">
        <v>125</v>
      </c>
      <c r="D19" s="15" t="s">
        <v>84</v>
      </c>
      <c r="E19" s="15" t="s">
        <v>78</v>
      </c>
      <c r="F19" s="15" t="s">
        <v>79</v>
      </c>
      <c r="G19" s="15" t="s">
        <v>85</v>
      </c>
      <c r="H19" s="15" t="s">
        <v>13</v>
      </c>
      <c r="I19" s="15" t="s">
        <v>86</v>
      </c>
    </row>
    <row r="20" spans="1:9" ht="28" x14ac:dyDescent="0.35">
      <c r="A20" s="14" t="s">
        <v>2</v>
      </c>
      <c r="B20" s="15" t="s">
        <v>3</v>
      </c>
      <c r="C20" s="15" t="s">
        <v>125</v>
      </c>
      <c r="D20" s="15" t="s">
        <v>77</v>
      </c>
      <c r="E20" s="15" t="s">
        <v>78</v>
      </c>
      <c r="F20" s="15" t="s">
        <v>79</v>
      </c>
      <c r="G20" s="15">
        <v>2026</v>
      </c>
      <c r="H20" s="15" t="s">
        <v>5</v>
      </c>
      <c r="I20" s="15" t="s">
        <v>80</v>
      </c>
    </row>
    <row r="21" spans="1:9" ht="28" x14ac:dyDescent="0.35">
      <c r="A21" s="14" t="s">
        <v>6</v>
      </c>
      <c r="B21" s="15" t="s">
        <v>7</v>
      </c>
      <c r="C21" s="15" t="s">
        <v>125</v>
      </c>
      <c r="D21" s="15" t="s">
        <v>77</v>
      </c>
      <c r="E21" s="15" t="s">
        <v>78</v>
      </c>
      <c r="F21" s="15" t="s">
        <v>79</v>
      </c>
      <c r="G21" s="15">
        <v>2026</v>
      </c>
      <c r="H21" s="15" t="s">
        <v>5</v>
      </c>
      <c r="I21" s="15" t="s">
        <v>80</v>
      </c>
    </row>
    <row r="22" spans="1:9" ht="28" x14ac:dyDescent="0.35">
      <c r="A22" s="14" t="s">
        <v>120</v>
      </c>
      <c r="B22" s="15" t="s">
        <v>119</v>
      </c>
      <c r="C22" s="15" t="s">
        <v>19</v>
      </c>
      <c r="D22" s="15" t="s">
        <v>88</v>
      </c>
      <c r="E22" s="15" t="s">
        <v>78</v>
      </c>
      <c r="F22" s="15" t="s">
        <v>79</v>
      </c>
      <c r="G22" s="15" t="s">
        <v>90</v>
      </c>
      <c r="H22" s="15" t="s">
        <v>5</v>
      </c>
      <c r="I22" s="15" t="s">
        <v>89</v>
      </c>
    </row>
    <row r="23" spans="1:9" x14ac:dyDescent="0.35">
      <c r="A23" s="14" t="s">
        <v>38</v>
      </c>
      <c r="B23" s="15" t="s">
        <v>39</v>
      </c>
      <c r="C23" s="15" t="s">
        <v>36</v>
      </c>
      <c r="D23" s="15" t="s">
        <v>97</v>
      </c>
      <c r="E23" s="15" t="s">
        <v>78</v>
      </c>
      <c r="F23" s="15" t="s">
        <v>79</v>
      </c>
      <c r="G23" s="15">
        <v>2026</v>
      </c>
      <c r="H23" s="15" t="s">
        <v>40</v>
      </c>
      <c r="I23" s="15" t="s">
        <v>96</v>
      </c>
    </row>
    <row r="24" spans="1:9" x14ac:dyDescent="0.35">
      <c r="A24" s="14" t="s">
        <v>52</v>
      </c>
      <c r="B24" s="15" t="s">
        <v>53</v>
      </c>
      <c r="C24" s="15" t="s">
        <v>36</v>
      </c>
      <c r="D24" s="15" t="s">
        <v>95</v>
      </c>
      <c r="E24" s="15" t="s">
        <v>78</v>
      </c>
      <c r="F24" s="15" t="s">
        <v>79</v>
      </c>
      <c r="G24" s="15">
        <v>2026</v>
      </c>
      <c r="H24" s="15" t="s">
        <v>30</v>
      </c>
      <c r="I24" s="15" t="s">
        <v>96</v>
      </c>
    </row>
    <row r="25" spans="1:9" ht="28" x14ac:dyDescent="0.35">
      <c r="A25" s="14" t="s">
        <v>65</v>
      </c>
      <c r="B25" s="15" t="s">
        <v>66</v>
      </c>
      <c r="C25" s="15" t="s">
        <v>29</v>
      </c>
      <c r="D25" s="15" t="s">
        <v>82</v>
      </c>
      <c r="E25" s="15" t="s">
        <v>78</v>
      </c>
      <c r="F25" s="15" t="s">
        <v>79</v>
      </c>
      <c r="G25" s="15">
        <v>2026</v>
      </c>
      <c r="H25" s="15" t="s">
        <v>30</v>
      </c>
      <c r="I25" s="15" t="s">
        <v>93</v>
      </c>
    </row>
    <row r="26" spans="1:9" ht="28" x14ac:dyDescent="0.35">
      <c r="A26" s="14" t="s">
        <v>27</v>
      </c>
      <c r="B26" s="15" t="s">
        <v>28</v>
      </c>
      <c r="C26" s="15" t="s">
        <v>29</v>
      </c>
      <c r="D26" s="15" t="s">
        <v>82</v>
      </c>
      <c r="E26" s="15" t="s">
        <v>78</v>
      </c>
      <c r="F26" s="15" t="s">
        <v>79</v>
      </c>
      <c r="G26" s="15">
        <v>2026</v>
      </c>
      <c r="H26" s="15" t="s">
        <v>30</v>
      </c>
      <c r="I26" s="15" t="s">
        <v>93</v>
      </c>
    </row>
    <row r="27" spans="1:9" x14ac:dyDescent="0.35">
      <c r="A27" s="14" t="s">
        <v>54</v>
      </c>
      <c r="B27" s="15" t="s">
        <v>55</v>
      </c>
      <c r="C27" s="15" t="s">
        <v>56</v>
      </c>
      <c r="D27" s="15" t="s">
        <v>82</v>
      </c>
      <c r="E27" s="15" t="s">
        <v>78</v>
      </c>
      <c r="F27" s="15" t="s">
        <v>79</v>
      </c>
      <c r="G27" s="15" t="s">
        <v>102</v>
      </c>
      <c r="H27" s="15" t="s">
        <v>57</v>
      </c>
      <c r="I27" s="15" t="s">
        <v>103</v>
      </c>
    </row>
    <row r="28" spans="1:9" x14ac:dyDescent="0.35">
      <c r="A28" s="14" t="s">
        <v>22</v>
      </c>
      <c r="B28" s="15" t="s">
        <v>23</v>
      </c>
      <c r="C28" s="15" t="s">
        <v>91</v>
      </c>
      <c r="D28" s="15" t="s">
        <v>91</v>
      </c>
      <c r="E28" s="15" t="s">
        <v>78</v>
      </c>
      <c r="F28" s="15" t="s">
        <v>79</v>
      </c>
      <c r="G28" s="15">
        <v>2026</v>
      </c>
      <c r="H28" s="15" t="s">
        <v>5</v>
      </c>
      <c r="I28" s="15" t="s">
        <v>92</v>
      </c>
    </row>
    <row r="29" spans="1:9" ht="28" x14ac:dyDescent="0.35">
      <c r="A29" s="5" t="s">
        <v>17</v>
      </c>
      <c r="B29" s="6" t="s">
        <v>18</v>
      </c>
      <c r="C29" s="6" t="s">
        <v>19</v>
      </c>
      <c r="D29" s="6" t="s">
        <v>88</v>
      </c>
      <c r="E29" s="6" t="s">
        <v>78</v>
      </c>
      <c r="F29" s="6" t="s">
        <v>79</v>
      </c>
      <c r="G29" s="6">
        <v>2026</v>
      </c>
      <c r="H29" s="6" t="s">
        <v>5</v>
      </c>
      <c r="I29" s="6" t="s">
        <v>89</v>
      </c>
    </row>
    <row r="30" spans="1:9" x14ac:dyDescent="0.35">
      <c r="A30" s="5" t="s">
        <v>51</v>
      </c>
      <c r="B30" s="6" t="s">
        <v>100</v>
      </c>
      <c r="C30" s="6" t="s">
        <v>101</v>
      </c>
      <c r="D30" s="6" t="s">
        <v>82</v>
      </c>
      <c r="E30" s="6" t="s">
        <v>78</v>
      </c>
      <c r="F30" s="6" t="s">
        <v>79</v>
      </c>
      <c r="G30" s="6">
        <v>2026</v>
      </c>
      <c r="H30" s="6" t="s">
        <v>33</v>
      </c>
      <c r="I30" s="6" t="s">
        <v>83</v>
      </c>
    </row>
    <row r="31" spans="1:9" ht="28" x14ac:dyDescent="0.35">
      <c r="A31" s="5" t="s">
        <v>31</v>
      </c>
      <c r="B31" s="6" t="s">
        <v>32</v>
      </c>
      <c r="C31" s="6" t="s">
        <v>29</v>
      </c>
      <c r="D31" s="6" t="s">
        <v>94</v>
      </c>
      <c r="E31" s="6" t="s">
        <v>78</v>
      </c>
      <c r="F31" s="6" t="s">
        <v>79</v>
      </c>
      <c r="G31" s="6">
        <v>2026</v>
      </c>
      <c r="H31" s="6" t="s">
        <v>33</v>
      </c>
      <c r="I31" s="6" t="s">
        <v>93</v>
      </c>
    </row>
    <row r="32" spans="1:9" x14ac:dyDescent="0.35">
      <c r="A32" s="5" t="s">
        <v>34</v>
      </c>
      <c r="B32" s="6" t="s">
        <v>35</v>
      </c>
      <c r="C32" s="6" t="s">
        <v>36</v>
      </c>
      <c r="D32" s="6" t="s">
        <v>95</v>
      </c>
      <c r="E32" s="6" t="s">
        <v>78</v>
      </c>
      <c r="F32" s="6" t="s">
        <v>79</v>
      </c>
      <c r="G32" s="6" t="s">
        <v>85</v>
      </c>
      <c r="H32" s="6" t="s">
        <v>37</v>
      </c>
      <c r="I32" s="6" t="s">
        <v>96</v>
      </c>
    </row>
    <row r="33" spans="1:9" x14ac:dyDescent="0.35">
      <c r="A33" s="5" t="s">
        <v>121</v>
      </c>
      <c r="B33" s="6" t="s">
        <v>122</v>
      </c>
      <c r="C33" s="6" t="s">
        <v>36</v>
      </c>
      <c r="D33" s="6" t="s">
        <v>95</v>
      </c>
      <c r="E33" s="6" t="s">
        <v>78</v>
      </c>
      <c r="F33" s="6" t="s">
        <v>79</v>
      </c>
      <c r="G33" s="6" t="s">
        <v>85</v>
      </c>
      <c r="H33" s="6" t="s">
        <v>37</v>
      </c>
      <c r="I33" s="6" t="s">
        <v>123</v>
      </c>
    </row>
    <row r="34" spans="1:9" x14ac:dyDescent="0.35">
      <c r="A34" s="5" t="s">
        <v>58</v>
      </c>
      <c r="B34" s="6" t="s">
        <v>59</v>
      </c>
      <c r="C34" s="6" t="s">
        <v>60</v>
      </c>
      <c r="D34" s="6" t="s">
        <v>104</v>
      </c>
      <c r="E34" s="6" t="s">
        <v>78</v>
      </c>
      <c r="F34" s="6" t="s">
        <v>79</v>
      </c>
      <c r="G34" s="6" t="s">
        <v>85</v>
      </c>
      <c r="H34" s="6" t="s">
        <v>61</v>
      </c>
      <c r="I34" s="6" t="s">
        <v>105</v>
      </c>
    </row>
  </sheetData>
  <autoFilter ref="A5:I34" xr:uid="{F998CA17-7C56-4023-9A0B-FF2199B48205}">
    <sortState xmlns:xlrd2="http://schemas.microsoft.com/office/spreadsheetml/2017/richdata2" ref="A6:I34">
      <sortCondition ref="B5:B34"/>
    </sortState>
  </autoFilter>
  <mergeCells count="7">
    <mergeCell ref="A1:A3"/>
    <mergeCell ref="B1:I1"/>
    <mergeCell ref="B2:I2"/>
    <mergeCell ref="H3:I3"/>
    <mergeCell ref="F3:G3"/>
    <mergeCell ref="D3:E3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6271-A208-4F0C-B845-DE6771ADB752}">
  <dimension ref="A1:D11"/>
  <sheetViews>
    <sheetView workbookViewId="0">
      <selection activeCell="D6" sqref="D6"/>
    </sheetView>
  </sheetViews>
  <sheetFormatPr baseColWidth="10" defaultRowHeight="14.5" x14ac:dyDescent="0.35"/>
  <cols>
    <col min="1" max="1" width="19" customWidth="1"/>
    <col min="2" max="2" width="20.1796875" customWidth="1"/>
  </cols>
  <sheetData>
    <row r="1" spans="1:4" x14ac:dyDescent="0.35">
      <c r="A1" s="1" t="s">
        <v>68</v>
      </c>
      <c r="B1" s="1" t="s">
        <v>69</v>
      </c>
    </row>
    <row r="2" spans="1:4" x14ac:dyDescent="0.35">
      <c r="A2" s="2" t="s">
        <v>4</v>
      </c>
      <c r="B2" s="2">
        <v>3</v>
      </c>
      <c r="D2">
        <f>+COUNTIF(Tabla2,"Gestión Comercial")</f>
        <v>0</v>
      </c>
    </row>
    <row r="3" spans="1:4" x14ac:dyDescent="0.35">
      <c r="A3" s="2" t="s">
        <v>12</v>
      </c>
      <c r="B3" s="2">
        <v>2</v>
      </c>
    </row>
    <row r="4" spans="1:4" x14ac:dyDescent="0.35">
      <c r="A4" s="2" t="s">
        <v>19</v>
      </c>
      <c r="B4" s="2">
        <v>8</v>
      </c>
    </row>
    <row r="5" spans="1:4" ht="29" x14ac:dyDescent="0.35">
      <c r="A5" s="2" t="s">
        <v>29</v>
      </c>
      <c r="B5" s="2">
        <v>5</v>
      </c>
    </row>
    <row r="6" spans="1:4" x14ac:dyDescent="0.35">
      <c r="A6" s="2" t="s">
        <v>36</v>
      </c>
      <c r="B6" s="2">
        <v>5</v>
      </c>
    </row>
    <row r="7" spans="1:4" x14ac:dyDescent="0.35">
      <c r="A7" s="2" t="s">
        <v>49</v>
      </c>
      <c r="B7" s="2">
        <v>1</v>
      </c>
    </row>
    <row r="8" spans="1:4" x14ac:dyDescent="0.35">
      <c r="A8" s="2" t="s">
        <v>56</v>
      </c>
      <c r="B8" s="2">
        <v>1</v>
      </c>
    </row>
    <row r="9" spans="1:4" x14ac:dyDescent="0.35">
      <c r="A9" s="2" t="s">
        <v>60</v>
      </c>
      <c r="B9" s="2">
        <v>2</v>
      </c>
    </row>
    <row r="11" spans="1:4" x14ac:dyDescent="0.35">
      <c r="B11">
        <f>SUM(B2:B9)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TRD</vt:lpstr>
      <vt:lpstr>TOTAL DOCUMENTOS</vt:lpstr>
      <vt:lpstr>Tabla1</vt:lpstr>
      <vt:lpstr>Tabla2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 Ruiz</dc:creator>
  <cp:lastModifiedBy>Xime Ruiz</cp:lastModifiedBy>
  <dcterms:created xsi:type="dcterms:W3CDTF">2026-04-23T22:07:20Z</dcterms:created>
  <dcterms:modified xsi:type="dcterms:W3CDTF">2026-04-29T02:16:53Z</dcterms:modified>
</cp:coreProperties>
</file>